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reria Belen\Downloads\"/>
    </mc:Choice>
  </mc:AlternateContent>
  <xr:revisionPtr revIDLastSave="0" documentId="13_ncr:1_{7B975D3C-BBE5-45B5-A6A5-66C04F3530F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1" l="1"/>
  <c r="F110" i="1"/>
  <c r="H110" i="1" s="1"/>
  <c r="F107" i="1"/>
  <c r="G28" i="1"/>
  <c r="G26" i="1"/>
  <c r="G27" i="1"/>
  <c r="G25" i="1"/>
  <c r="G22" i="1"/>
</calcChain>
</file>

<file path=xl/sharedStrings.xml><?xml version="1.0" encoding="utf-8"?>
<sst xmlns="http://schemas.openxmlformats.org/spreadsheetml/2006/main" count="127" uniqueCount="127">
  <si>
    <t>Unnamed: 0</t>
  </si>
  <si>
    <t>Descripción</t>
  </si>
  <si>
    <t>Cantidad</t>
  </si>
  <si>
    <t>Precio</t>
  </si>
  <si>
    <t>Costo</t>
  </si>
  <si>
    <t>Block De Dibujo Anillado 20H Justus</t>
  </si>
  <si>
    <t>Block De Dibujo Empastado Ove 24 X 31.5 Cm 20 Hojas</t>
  </si>
  <si>
    <t>Block Escolar 80H Period Cuadr Libra</t>
  </si>
  <si>
    <t>Bolígrafo Faber Castell Trilux 031 Punta Fina Azul X 1 Und</t>
  </si>
  <si>
    <t>Bolígrafo Faber Castell Trilux 031 Punta Fina Negro X 1 Und</t>
  </si>
  <si>
    <t>Bolígrafo Faber Castell Trilux 031 Punta Fina Rojo X 1 Und</t>
  </si>
  <si>
    <t>Bolígrafo Pilot Bp-Sf Punta Fina Azul X 1 Und</t>
  </si>
  <si>
    <t>Bolígrafo Pilot Bp-Sf Punta Fina Negro X 1 Und</t>
  </si>
  <si>
    <t>Bolígrafo Pilot Bp-Sf Punta Fina Rojo X 1 Und</t>
  </si>
  <si>
    <t>Bolígrafo Pilot Bp-Sf Punta Fina Verde X 1 Und</t>
  </si>
  <si>
    <t>Cartulina Escolar Amarillo Pastel 135/140 G</t>
  </si>
  <si>
    <t>Cartulina Escolar Blanco 140 G</t>
  </si>
  <si>
    <t>Cartulina Escolar Celeste Pastel 135/140 G</t>
  </si>
  <si>
    <t>Cartulina Escolar Rosado Pastel 135/140 G</t>
  </si>
  <si>
    <t>Cartulina Escolar Verde Pastel 135/140 G</t>
  </si>
  <si>
    <t>Cartulina Negro Chica 50 X 65 Cm</t>
  </si>
  <si>
    <t>Cola Artesco Con Aplicador 250 G</t>
  </si>
  <si>
    <t>Cola Artesco Con Aplicador 57 G</t>
  </si>
  <si>
    <t>Cola Faber Castell Pega Bien X110G</t>
  </si>
  <si>
    <t>Cola Faber Castell Pegabien Con Aplicador 250 gr</t>
  </si>
  <si>
    <t>Cola X 23 Cc David</t>
  </si>
  <si>
    <t>Cola X 250 Gr Pote Layconsa</t>
  </si>
  <si>
    <t>Cola X 35 Gr Faber Castell Pegabien</t>
  </si>
  <si>
    <t>Cola X 60 Cc David</t>
  </si>
  <si>
    <t>Colores Largos Artesco Triangulares + Lápices + Sacapuntas X 12 Und</t>
  </si>
  <si>
    <t>Colores Largos Faber Castell Triangulares Clásicos X 12 Und</t>
  </si>
  <si>
    <t>Compas Escolar Layconsa Plastico Con Lapiz</t>
  </si>
  <si>
    <t>Corrector Mini 4Ml</t>
  </si>
  <si>
    <t>Corrector Tipo Lapicero Artesco Punta Metálica</t>
  </si>
  <si>
    <t>Corrector Tipo Lapicero Faber Castell Punta Metálica</t>
  </si>
  <si>
    <t>Forro Vinifan A4 Cristal</t>
  </si>
  <si>
    <t>Forro Vinifan Oficio Cristal</t>
  </si>
  <si>
    <t>Forro Vinifan Vinifancito A4 Cristal</t>
  </si>
  <si>
    <t>Goma En Barra Artesco 21 G</t>
  </si>
  <si>
    <t>Goma En Barra Artesco 40 G</t>
  </si>
  <si>
    <t>Goma En Barra Faber Castell 40 G</t>
  </si>
  <si>
    <t>Goma En Barra Faber Castell Fix 21 G</t>
  </si>
  <si>
    <t>Grapas 26/6 X 5000 Und Artesco</t>
  </si>
  <si>
    <t>Limpiatipos Artesco Sticky Tac</t>
  </si>
  <si>
    <t>Lustre color anaranjado</t>
  </si>
  <si>
    <t>Lustre color azul</t>
  </si>
  <si>
    <t>Lustre color blanco</t>
  </si>
  <si>
    <t>Lustre color celeste</t>
  </si>
  <si>
    <t>Lustre color lila</t>
  </si>
  <si>
    <t>Lustre color marron</t>
  </si>
  <si>
    <t>Lustre color morado</t>
  </si>
  <si>
    <t>Lustre color negro</t>
  </si>
  <si>
    <t>Lustre color Rojo</t>
  </si>
  <si>
    <t>Lustre color rosado</t>
  </si>
  <si>
    <t>Lustre color turquesa</t>
  </si>
  <si>
    <t>Lustre color verde oscuro</t>
  </si>
  <si>
    <t>Mica Portapapel Vinifan A4 Paquete X 10 Und</t>
  </si>
  <si>
    <t>Papel Bond 56 G 61 X 86 Cm Rollo X 50 Und</t>
  </si>
  <si>
    <t>Papel Crepé Amarillo X 10 Unidades</t>
  </si>
  <si>
    <t>Papel Crepé Azul X 10 Unidades</t>
  </si>
  <si>
    <t>Papel Crepé Blanco X 10 Unidades</t>
  </si>
  <si>
    <t>Papel Crepé Celeste X 10 Unidades</t>
  </si>
  <si>
    <t>Papel Crepé Fucsia X 10 Unidades</t>
  </si>
  <si>
    <t>Papel Crepé Lila X 10 Unidades</t>
  </si>
  <si>
    <t>Papel Crepé Marrón X 10 Unidades</t>
  </si>
  <si>
    <t>Papel Crepé Melón X 10 Unidades</t>
  </si>
  <si>
    <t>Papel Crepé Morado X 10 Unidades</t>
  </si>
  <si>
    <t>Papel Crepé Naranja X 10 Unidades</t>
  </si>
  <si>
    <t>Papel Crepé Negro X 10 Unidades</t>
  </si>
  <si>
    <t>Papel Crepé Rojo X 10 Unidades</t>
  </si>
  <si>
    <t>Papel Crepé Rosado X 10 Unidades</t>
  </si>
  <si>
    <t>Papel Crepé Verde  Limon X 10 Unidades</t>
  </si>
  <si>
    <t>Papel Crepé Verde Oscuro X 10 Unidades</t>
  </si>
  <si>
    <t>Papel Fotocopia Chamex A4 75Gr Paquete X 500 Hojas</t>
  </si>
  <si>
    <t>Papel Kraft Monolucido 49 Gr 70 X 100 Cm</t>
  </si>
  <si>
    <t>Papel Lustre - Amarillo</t>
  </si>
  <si>
    <t>Papelógrafo Rayado 61 X 86 Cm 56 G Rollo X 50 Un</t>
  </si>
  <si>
    <t>Perforador Artesco M-208 11 Hojas Celeste</t>
  </si>
  <si>
    <t>Perforador Artesco M-73 25 Hojas Negro</t>
  </si>
  <si>
    <t>Perforador Escolar Artesco M-01 11 Hojas Azul</t>
  </si>
  <si>
    <t>Plastilina Jumbo Artesco X 12 Und</t>
  </si>
  <si>
    <t>Plumón Artesco Fineliner Triangular X 12 Und</t>
  </si>
  <si>
    <t>Plumón Delgado Faber Castell Colorfest X 12 Und</t>
  </si>
  <si>
    <t>Plumón Delgado Faber Castell Fiesta 45 Estuche Rígido X 12 Und</t>
  </si>
  <si>
    <t>Plumón Delgado Faber Castell Fiesta 45 Estuche X 12 Und</t>
  </si>
  <si>
    <t>Plumón Delgado Faber Castell Fiesta 45 X 18 Und</t>
  </si>
  <si>
    <t>Plumón Indeleble Delgado Ove Dúo Azul</t>
  </si>
  <si>
    <t>Plumón Indeleble Delgado Ove Dúo Negro</t>
  </si>
  <si>
    <t>Plumón Indeleble Delgado Ove Dúo Rojo</t>
  </si>
  <si>
    <t>Plumón Indeleble Jumbo Ove E23 Azul</t>
  </si>
  <si>
    <t>Plumón Indeleble Jumbo Ove E23 Negro</t>
  </si>
  <si>
    <t>Plumón Indeleble Jumbo Ove E23 Rojo</t>
  </si>
  <si>
    <t>Plumón Jumbo Ove 47 Azul X 1 Und</t>
  </si>
  <si>
    <t>Plumón Jumbo Ove 47 Negro X 1 Und</t>
  </si>
  <si>
    <t>Plumón Jumbo Ove 47 Rojo X 1 Und</t>
  </si>
  <si>
    <t>Plumón Jumbo Ove 47 Verde X 1 Und</t>
  </si>
  <si>
    <t>Plumón Jumbo Ove E47 X 12 Und</t>
  </si>
  <si>
    <t>Plumón Jumbo Ove E47 X 6 Und</t>
  </si>
  <si>
    <t>Plumón Para Pizarra Artesco Acrimax 123 Azul</t>
  </si>
  <si>
    <t>Plumón Para Pizarra Artesco Acrimax 123 Negro</t>
  </si>
  <si>
    <t>Plumón Para Pizarra Artesco Acrimax 123 Rojo</t>
  </si>
  <si>
    <t>Plumón Para Pizarra Artesco Acrimax 123 Verde</t>
  </si>
  <si>
    <t>Resaltador Artesco Metálico X 4 Und</t>
  </si>
  <si>
    <t>Resaltador Ove Amarillo X 1 Und</t>
  </si>
  <si>
    <t>Resaltador Ove Naranja X 1 Und</t>
  </si>
  <si>
    <t>Resaltador Ove Verde X 1 Und</t>
  </si>
  <si>
    <t>Set de Alfileres Uso Diario en Disco Paquete X 12 Und</t>
  </si>
  <si>
    <t>Silicona Líquida Artesco 100 Ml</t>
  </si>
  <si>
    <t>Silicona Líquida Artesco 30Ml</t>
  </si>
  <si>
    <t>Tajador Metal Depósito Doble Pastel Artesco Caja X12</t>
  </si>
  <si>
    <t>Tajador Ove Plástico Caja X 24</t>
  </si>
  <si>
    <t>Tajador Plástico Depósito Doble Neon Vinifan Caja X 12 Und</t>
  </si>
  <si>
    <t>Tajador Plástico Depósito Simple Funky+ Borrador Vinifan Caja X 12 Und</t>
  </si>
  <si>
    <t>Transportador Artesco</t>
  </si>
  <si>
    <t>Chinches Dorados Ove 10 Mm X 100 Und</t>
  </si>
  <si>
    <t>Palito De Chupete Dragon Grueso De Color Paquete X 40 Und</t>
  </si>
  <si>
    <t>Palito De Chupete Grueso Natural</t>
  </si>
  <si>
    <t>Chinches De Colores Ove 10 Mm X 100 Und</t>
  </si>
  <si>
    <t>Chinches De Colores Ove Push Pins 10 Mm X 50 Und</t>
  </si>
  <si>
    <t>Tampón Artesco Negro Para Huella Digital</t>
  </si>
  <si>
    <t>Lápiz 2B Grafito Artesco Con Borrador X 1 Und</t>
  </si>
  <si>
    <t>Lápiz 2B Técnico Faber Castell Sin Borrador  X 1 Und</t>
  </si>
  <si>
    <t>Lápiz Hb Faber Castell Titan Con Borrador X 1 Und</t>
  </si>
  <si>
    <t>Sobre Manila Graphos A4 X 1 Und</t>
  </si>
  <si>
    <t>Palito De Chupete Dragon Paquete X 40 Colores</t>
  </si>
  <si>
    <t>Palito De Chupete paquetito</t>
  </si>
  <si>
    <t>Microporoso Escarchado A4 Surtido X 1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</si>
</sst>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abSelected="1" workbookViewId="0">
      <pane ySplit="1" topLeftCell="A99" activePane="bottomLeft" state="frozen"/>
      <selection pane="bottomLeft" activeCell="B105" sqref="B105"/>
    </sheetView>
  </sheetViews>
  <sheetFormatPr baseColWidth="10" defaultColWidth="9.140625" defaultRowHeight="15" x14ac:dyDescent="0.25"/>
  <cols>
    <col min="1" max="1" width="19" style="1" customWidth="1"/>
    <col min="2" max="2" width="65.140625" style="2" bestFit="1" customWidth="1"/>
    <col min="3" max="3" width="15.7109375" style="1" customWidth="1"/>
    <col min="4" max="4" width="13.85546875" style="1" customWidth="1"/>
    <col min="5" max="5" width="14.42578125" style="1" customWidth="1"/>
    <col min="6" max="16384" width="9.140625" style="1"/>
  </cols>
  <sheetData>
    <row r="1" spans="1:5" ht="24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s="3" customFormat="1" x14ac:dyDescent="0.25">
      <c r="B2" s="4" t="s">
        <v>5</v>
      </c>
      <c r="C2" s="3">
        <v>25</v>
      </c>
      <c r="D2" s="3">
        <v>6</v>
      </c>
      <c r="E2" s="3">
        <v>3.77</v>
      </c>
    </row>
    <row r="3" spans="1:5" s="3" customFormat="1" x14ac:dyDescent="0.25">
      <c r="B3" s="4" t="s">
        <v>6</v>
      </c>
      <c r="C3" s="3">
        <v>12</v>
      </c>
      <c r="D3" s="3">
        <v>7</v>
      </c>
      <c r="E3" s="3">
        <v>3</v>
      </c>
    </row>
    <row r="4" spans="1:5" s="3" customFormat="1" x14ac:dyDescent="0.25">
      <c r="B4" s="4" t="s">
        <v>7</v>
      </c>
      <c r="C4" s="3">
        <v>25</v>
      </c>
      <c r="D4" s="3">
        <v>2.5</v>
      </c>
      <c r="E4" s="3">
        <v>1.18</v>
      </c>
    </row>
    <row r="5" spans="1:5" s="3" customFormat="1" x14ac:dyDescent="0.25">
      <c r="B5" s="4" t="s">
        <v>8</v>
      </c>
      <c r="C5" s="3">
        <v>50</v>
      </c>
      <c r="D5" s="3">
        <v>1</v>
      </c>
      <c r="E5" s="3">
        <v>0.42</v>
      </c>
    </row>
    <row r="6" spans="1:5" s="3" customFormat="1" x14ac:dyDescent="0.25">
      <c r="B6" s="4" t="s">
        <v>9</v>
      </c>
      <c r="C6" s="3">
        <v>50</v>
      </c>
      <c r="D6" s="3">
        <v>1</v>
      </c>
      <c r="E6" s="3">
        <v>0.42</v>
      </c>
    </row>
    <row r="7" spans="1:5" s="3" customFormat="1" x14ac:dyDescent="0.25">
      <c r="B7" s="4" t="s">
        <v>10</v>
      </c>
      <c r="C7" s="3">
        <v>50</v>
      </c>
      <c r="D7" s="3">
        <v>1</v>
      </c>
      <c r="E7" s="3">
        <v>0.42</v>
      </c>
    </row>
    <row r="8" spans="1:5" s="3" customFormat="1" x14ac:dyDescent="0.25">
      <c r="B8" s="4" t="s">
        <v>11</v>
      </c>
      <c r="C8" s="3">
        <v>12</v>
      </c>
      <c r="D8" s="3">
        <v>2.8</v>
      </c>
      <c r="E8" s="3">
        <v>2.14</v>
      </c>
    </row>
    <row r="9" spans="1:5" s="3" customFormat="1" x14ac:dyDescent="0.25">
      <c r="B9" s="4" t="s">
        <v>12</v>
      </c>
      <c r="C9" s="3">
        <v>12</v>
      </c>
      <c r="D9" s="3">
        <v>2.8</v>
      </c>
      <c r="E9" s="3">
        <v>2.14</v>
      </c>
    </row>
    <row r="10" spans="1:5" s="3" customFormat="1" x14ac:dyDescent="0.25">
      <c r="B10" s="4" t="s">
        <v>13</v>
      </c>
      <c r="C10" s="3">
        <v>12</v>
      </c>
      <c r="D10" s="3">
        <v>2.8</v>
      </c>
      <c r="E10" s="3">
        <v>2.14</v>
      </c>
    </row>
    <row r="11" spans="1:5" s="3" customFormat="1" x14ac:dyDescent="0.25">
      <c r="B11" s="4" t="s">
        <v>14</v>
      </c>
      <c r="C11" s="3">
        <v>12</v>
      </c>
      <c r="D11" s="3">
        <v>2.8</v>
      </c>
      <c r="E11" s="3">
        <v>2.14</v>
      </c>
    </row>
    <row r="12" spans="1:5" s="3" customFormat="1" x14ac:dyDescent="0.25">
      <c r="B12" s="4" t="s">
        <v>15</v>
      </c>
      <c r="C12" s="3">
        <v>100</v>
      </c>
      <c r="D12" s="3">
        <v>1</v>
      </c>
      <c r="E12" s="3">
        <v>0.28999999999999998</v>
      </c>
    </row>
    <row r="13" spans="1:5" s="3" customFormat="1" x14ac:dyDescent="0.25">
      <c r="B13" s="4" t="s">
        <v>16</v>
      </c>
      <c r="C13" s="3">
        <v>100</v>
      </c>
      <c r="D13" s="3">
        <v>1</v>
      </c>
      <c r="E13" s="3">
        <v>0.21</v>
      </c>
    </row>
    <row r="14" spans="1:5" s="3" customFormat="1" x14ac:dyDescent="0.25">
      <c r="B14" s="4" t="s">
        <v>17</v>
      </c>
      <c r="C14" s="3">
        <v>100</v>
      </c>
      <c r="D14" s="3">
        <v>1</v>
      </c>
      <c r="E14" s="3">
        <v>0.28999999999999998</v>
      </c>
    </row>
    <row r="15" spans="1:5" s="3" customFormat="1" x14ac:dyDescent="0.25">
      <c r="B15" s="4" t="s">
        <v>18</v>
      </c>
      <c r="C15" s="3">
        <v>100</v>
      </c>
      <c r="D15" s="3">
        <v>1</v>
      </c>
      <c r="E15" s="3">
        <v>0.28999999999999998</v>
      </c>
    </row>
    <row r="16" spans="1:5" s="3" customFormat="1" x14ac:dyDescent="0.25">
      <c r="B16" s="4" t="s">
        <v>19</v>
      </c>
      <c r="C16" s="3">
        <v>100</v>
      </c>
      <c r="D16" s="3">
        <v>1</v>
      </c>
      <c r="E16" s="3">
        <v>0.28999999999999998</v>
      </c>
    </row>
    <row r="17" spans="2:7" s="3" customFormat="1" x14ac:dyDescent="0.25">
      <c r="B17" s="4" t="s">
        <v>20</v>
      </c>
      <c r="C17" s="3">
        <v>100</v>
      </c>
      <c r="D17" s="3">
        <v>1.2</v>
      </c>
      <c r="E17" s="3">
        <v>0.52</v>
      </c>
    </row>
    <row r="18" spans="2:7" s="3" customFormat="1" x14ac:dyDescent="0.25">
      <c r="B18" s="4" t="s">
        <v>21</v>
      </c>
      <c r="C18" s="3">
        <v>12</v>
      </c>
      <c r="D18" s="3">
        <v>4</v>
      </c>
      <c r="E18" s="3">
        <v>2.42</v>
      </c>
    </row>
    <row r="19" spans="2:7" s="3" customFormat="1" x14ac:dyDescent="0.25">
      <c r="B19" s="4" t="s">
        <v>22</v>
      </c>
      <c r="C19" s="3">
        <v>12</v>
      </c>
      <c r="D19" s="3">
        <v>2.5</v>
      </c>
      <c r="E19" s="3">
        <v>1.47</v>
      </c>
    </row>
    <row r="20" spans="2:7" s="3" customFormat="1" x14ac:dyDescent="0.25">
      <c r="B20" s="4" t="s">
        <v>23</v>
      </c>
      <c r="C20" s="3">
        <v>12</v>
      </c>
      <c r="D20" s="3">
        <v>2.5</v>
      </c>
      <c r="E20" s="3">
        <v>1.49</v>
      </c>
    </row>
    <row r="21" spans="2:7" s="3" customFormat="1" x14ac:dyDescent="0.25">
      <c r="B21" s="4" t="s">
        <v>24</v>
      </c>
      <c r="C21" s="3">
        <v>12</v>
      </c>
      <c r="D21" s="3">
        <v>4.5</v>
      </c>
      <c r="E21" s="3">
        <v>2.5299999999999998</v>
      </c>
    </row>
    <row r="22" spans="2:7" s="3" customFormat="1" x14ac:dyDescent="0.25">
      <c r="B22" s="4" t="s">
        <v>25</v>
      </c>
      <c r="C22" s="3">
        <v>24</v>
      </c>
      <c r="D22" s="3">
        <v>0.39</v>
      </c>
      <c r="E22" s="3">
        <v>0.39</v>
      </c>
      <c r="F22" s="3">
        <v>4.8</v>
      </c>
      <c r="G22" s="3">
        <f>F22*2</f>
        <v>9.6</v>
      </c>
    </row>
    <row r="23" spans="2:7" s="3" customFormat="1" x14ac:dyDescent="0.25">
      <c r="B23" s="4" t="s">
        <v>26</v>
      </c>
      <c r="C23" s="3">
        <v>6</v>
      </c>
      <c r="D23" s="3">
        <v>3.5</v>
      </c>
      <c r="E23" s="3">
        <v>1.83</v>
      </c>
    </row>
    <row r="24" spans="2:7" s="3" customFormat="1" x14ac:dyDescent="0.25">
      <c r="B24" s="4" t="s">
        <v>27</v>
      </c>
      <c r="C24" s="3">
        <v>12</v>
      </c>
      <c r="D24" s="3">
        <v>1.5</v>
      </c>
      <c r="E24" s="3">
        <v>0.85</v>
      </c>
      <c r="F24" s="3">
        <v>10.199999999999999</v>
      </c>
    </row>
    <row r="25" spans="2:7" s="3" customFormat="1" x14ac:dyDescent="0.25">
      <c r="B25" s="4" t="s">
        <v>28</v>
      </c>
      <c r="C25" s="3">
        <v>24</v>
      </c>
      <c r="D25" s="3">
        <v>1</v>
      </c>
      <c r="E25" s="3">
        <v>0.64</v>
      </c>
      <c r="F25" s="3">
        <v>7.8</v>
      </c>
      <c r="G25" s="3">
        <f>F25*2</f>
        <v>15.6</v>
      </c>
    </row>
    <row r="26" spans="2:7" s="3" customFormat="1" x14ac:dyDescent="0.25">
      <c r="B26" s="4" t="s">
        <v>29</v>
      </c>
      <c r="C26" s="3">
        <v>12</v>
      </c>
      <c r="D26" s="3">
        <v>5.15</v>
      </c>
      <c r="E26" s="3">
        <v>5.15</v>
      </c>
      <c r="F26" s="3">
        <v>27.54</v>
      </c>
      <c r="G26" s="3">
        <f>F26*4</f>
        <v>110.16</v>
      </c>
    </row>
    <row r="27" spans="2:7" s="3" customFormat="1" x14ac:dyDescent="0.25">
      <c r="B27" s="4" t="s">
        <v>30</v>
      </c>
      <c r="C27" s="3">
        <v>14</v>
      </c>
      <c r="D27" s="3">
        <v>6.5</v>
      </c>
      <c r="E27" s="3">
        <v>4.92</v>
      </c>
      <c r="F27" s="3">
        <v>28.44</v>
      </c>
      <c r="G27" s="3">
        <f>F27*2</f>
        <v>56.88</v>
      </c>
    </row>
    <row r="28" spans="2:7" s="3" customFormat="1" x14ac:dyDescent="0.25">
      <c r="B28" s="4" t="s">
        <v>31</v>
      </c>
      <c r="C28" s="3">
        <v>12</v>
      </c>
      <c r="D28" s="3">
        <v>1.69</v>
      </c>
      <c r="E28" s="3">
        <v>1.69</v>
      </c>
      <c r="F28" s="3">
        <v>10.14</v>
      </c>
      <c r="G28" s="3">
        <f>F28*2</f>
        <v>20.28</v>
      </c>
    </row>
    <row r="29" spans="2:7" s="3" customFormat="1" x14ac:dyDescent="0.25">
      <c r="B29" s="4" t="s">
        <v>32</v>
      </c>
      <c r="C29" s="3">
        <v>12</v>
      </c>
      <c r="D29" s="3">
        <v>2</v>
      </c>
      <c r="E29" s="3">
        <v>0.7</v>
      </c>
      <c r="F29" s="3">
        <v>8.4</v>
      </c>
    </row>
    <row r="30" spans="2:7" s="3" customFormat="1" x14ac:dyDescent="0.25">
      <c r="B30" s="4" t="s">
        <v>33</v>
      </c>
      <c r="C30" s="3">
        <v>12</v>
      </c>
      <c r="D30" s="3">
        <v>2</v>
      </c>
      <c r="E30" s="3">
        <v>1.06</v>
      </c>
    </row>
    <row r="31" spans="2:7" s="3" customFormat="1" x14ac:dyDescent="0.25">
      <c r="B31" s="4" t="s">
        <v>34</v>
      </c>
      <c r="C31" s="3">
        <v>12</v>
      </c>
      <c r="D31" s="3">
        <v>2.5</v>
      </c>
      <c r="E31" s="3">
        <v>1.1399999999999999</v>
      </c>
    </row>
    <row r="32" spans="2:7" s="3" customFormat="1" x14ac:dyDescent="0.25">
      <c r="B32" s="4" t="s">
        <v>35</v>
      </c>
      <c r="C32" s="3">
        <v>18</v>
      </c>
      <c r="D32" s="3">
        <v>6</v>
      </c>
      <c r="E32" s="3">
        <v>4.5</v>
      </c>
    </row>
    <row r="33" spans="2:5" s="3" customFormat="1" x14ac:dyDescent="0.25">
      <c r="B33" s="4" t="s">
        <v>36</v>
      </c>
      <c r="C33" s="3">
        <v>5</v>
      </c>
      <c r="D33" s="3">
        <v>12.4</v>
      </c>
      <c r="E33" s="3">
        <v>9</v>
      </c>
    </row>
    <row r="34" spans="2:5" s="3" customFormat="1" x14ac:dyDescent="0.25">
      <c r="B34" s="4" t="s">
        <v>37</v>
      </c>
      <c r="C34" s="3">
        <v>18</v>
      </c>
      <c r="D34" s="3">
        <v>3.5</v>
      </c>
      <c r="E34" s="3">
        <v>2.25</v>
      </c>
    </row>
    <row r="35" spans="2:5" s="3" customFormat="1" ht="15.75" customHeight="1" x14ac:dyDescent="0.25">
      <c r="B35" s="4" t="s">
        <v>38</v>
      </c>
      <c r="C35" s="3">
        <v>12</v>
      </c>
      <c r="D35" s="3">
        <v>3</v>
      </c>
      <c r="E35" s="3">
        <v>1.5</v>
      </c>
    </row>
    <row r="36" spans="2:5" s="3" customFormat="1" x14ac:dyDescent="0.25">
      <c r="B36" s="4" t="s">
        <v>39</v>
      </c>
      <c r="C36" s="3">
        <v>12</v>
      </c>
      <c r="D36" s="3">
        <v>4</v>
      </c>
      <c r="E36" s="3">
        <v>2.5099999999999998</v>
      </c>
    </row>
    <row r="37" spans="2:5" s="3" customFormat="1" x14ac:dyDescent="0.25">
      <c r="B37" s="4" t="s">
        <v>40</v>
      </c>
      <c r="C37" s="3">
        <v>12</v>
      </c>
      <c r="D37" s="3">
        <v>4.5</v>
      </c>
      <c r="E37" s="3">
        <v>2.59</v>
      </c>
    </row>
    <row r="38" spans="2:5" s="3" customFormat="1" x14ac:dyDescent="0.25">
      <c r="B38" s="4" t="s">
        <v>41</v>
      </c>
      <c r="C38" s="3">
        <v>12</v>
      </c>
      <c r="D38" s="3">
        <v>1.55</v>
      </c>
      <c r="E38" s="3">
        <v>1.55</v>
      </c>
    </row>
    <row r="39" spans="2:5" s="3" customFormat="1" x14ac:dyDescent="0.25">
      <c r="B39" s="4" t="s">
        <v>42</v>
      </c>
      <c r="C39" s="3">
        <v>20</v>
      </c>
      <c r="D39" s="3">
        <v>2.42</v>
      </c>
      <c r="E39" s="3">
        <v>2.42</v>
      </c>
    </row>
    <row r="40" spans="2:5" s="3" customFormat="1" x14ac:dyDescent="0.25">
      <c r="B40" s="4" t="s">
        <v>120</v>
      </c>
      <c r="C40" s="3">
        <v>5</v>
      </c>
      <c r="D40" s="3">
        <v>1</v>
      </c>
      <c r="E40" s="3">
        <v>3.61</v>
      </c>
    </row>
    <row r="41" spans="2:5" s="3" customFormat="1" x14ac:dyDescent="0.25">
      <c r="B41" s="4" t="s">
        <v>121</v>
      </c>
      <c r="C41" s="3">
        <v>3</v>
      </c>
      <c r="D41" s="3">
        <v>3.97</v>
      </c>
      <c r="E41" s="3">
        <v>3.97</v>
      </c>
    </row>
    <row r="42" spans="2:5" s="3" customFormat="1" x14ac:dyDescent="0.25">
      <c r="B42" s="4" t="s">
        <v>122</v>
      </c>
      <c r="C42" s="3">
        <v>5</v>
      </c>
      <c r="D42" s="3">
        <v>2</v>
      </c>
      <c r="E42" s="3">
        <v>4.62</v>
      </c>
    </row>
    <row r="43" spans="2:5" s="3" customFormat="1" x14ac:dyDescent="0.25">
      <c r="B43" s="4" t="s">
        <v>43</v>
      </c>
      <c r="C43" s="3">
        <v>12</v>
      </c>
      <c r="D43" s="3">
        <v>2.5</v>
      </c>
      <c r="E43" s="3">
        <v>1.43</v>
      </c>
    </row>
    <row r="44" spans="2:5" s="3" customFormat="1" x14ac:dyDescent="0.25">
      <c r="B44" s="4" t="s">
        <v>44</v>
      </c>
      <c r="C44" s="3">
        <v>100</v>
      </c>
      <c r="D44" s="3">
        <v>0.5</v>
      </c>
      <c r="E44" s="3">
        <v>0.18</v>
      </c>
    </row>
    <row r="45" spans="2:5" s="3" customFormat="1" x14ac:dyDescent="0.25">
      <c r="B45" s="4" t="s">
        <v>45</v>
      </c>
      <c r="C45" s="3">
        <v>100</v>
      </c>
      <c r="D45" s="3">
        <v>0.5</v>
      </c>
      <c r="E45" s="3">
        <v>0.18</v>
      </c>
    </row>
    <row r="46" spans="2:5" s="3" customFormat="1" x14ac:dyDescent="0.25">
      <c r="B46" s="4" t="s">
        <v>46</v>
      </c>
      <c r="C46" s="3">
        <v>100</v>
      </c>
      <c r="D46" s="3">
        <v>0.5</v>
      </c>
      <c r="E46" s="3">
        <v>0.18</v>
      </c>
    </row>
    <row r="47" spans="2:5" s="3" customFormat="1" x14ac:dyDescent="0.25">
      <c r="B47" s="4" t="s">
        <v>47</v>
      </c>
      <c r="C47" s="3">
        <v>100</v>
      </c>
      <c r="D47" s="3">
        <v>0.5</v>
      </c>
      <c r="E47" s="3">
        <v>0.18</v>
      </c>
    </row>
    <row r="48" spans="2:5" s="3" customFormat="1" x14ac:dyDescent="0.25">
      <c r="B48" s="4" t="s">
        <v>48</v>
      </c>
      <c r="C48" s="3">
        <v>100</v>
      </c>
      <c r="D48" s="3">
        <v>0.5</v>
      </c>
      <c r="E48" s="3">
        <v>0.18</v>
      </c>
    </row>
    <row r="49" spans="2:5" s="3" customFormat="1" x14ac:dyDescent="0.25">
      <c r="B49" s="4" t="s">
        <v>49</v>
      </c>
      <c r="C49" s="3">
        <v>100</v>
      </c>
      <c r="D49" s="3">
        <v>0.5</v>
      </c>
      <c r="E49" s="3">
        <v>0.18</v>
      </c>
    </row>
    <row r="50" spans="2:5" s="3" customFormat="1" x14ac:dyDescent="0.25">
      <c r="B50" s="4" t="s">
        <v>50</v>
      </c>
      <c r="C50" s="3">
        <v>100</v>
      </c>
      <c r="D50" s="3">
        <v>0.5</v>
      </c>
      <c r="E50" s="3">
        <v>0.18</v>
      </c>
    </row>
    <row r="51" spans="2:5" s="3" customFormat="1" x14ac:dyDescent="0.25">
      <c r="B51" s="4" t="s">
        <v>51</v>
      </c>
      <c r="C51" s="3">
        <v>100</v>
      </c>
      <c r="D51" s="3">
        <v>0.5</v>
      </c>
      <c r="E51" s="3">
        <v>0.18</v>
      </c>
    </row>
    <row r="52" spans="2:5" s="3" customFormat="1" x14ac:dyDescent="0.25">
      <c r="B52" s="4" t="s">
        <v>52</v>
      </c>
      <c r="C52" s="3">
        <v>100</v>
      </c>
      <c r="D52" s="3">
        <v>0.5</v>
      </c>
      <c r="E52" s="3">
        <v>0.18</v>
      </c>
    </row>
    <row r="53" spans="2:5" s="3" customFormat="1" x14ac:dyDescent="0.25">
      <c r="B53" s="4" t="s">
        <v>53</v>
      </c>
      <c r="C53" s="3">
        <v>100</v>
      </c>
      <c r="D53" s="3">
        <v>0.5</v>
      </c>
      <c r="E53" s="3">
        <v>0.18</v>
      </c>
    </row>
    <row r="54" spans="2:5" s="3" customFormat="1" x14ac:dyDescent="0.25">
      <c r="B54" s="4" t="s">
        <v>54</v>
      </c>
      <c r="C54" s="3">
        <v>100</v>
      </c>
      <c r="D54" s="3">
        <v>0.5</v>
      </c>
      <c r="E54" s="3">
        <v>0.18</v>
      </c>
    </row>
    <row r="55" spans="2:5" s="3" customFormat="1" x14ac:dyDescent="0.25">
      <c r="B55" s="4" t="s">
        <v>55</v>
      </c>
      <c r="C55" s="3">
        <v>100</v>
      </c>
      <c r="D55" s="3">
        <v>0.5</v>
      </c>
      <c r="E55" s="3">
        <v>0.18</v>
      </c>
    </row>
    <row r="56" spans="2:5" s="3" customFormat="1" x14ac:dyDescent="0.25">
      <c r="B56" s="4" t="s">
        <v>56</v>
      </c>
      <c r="C56" s="3">
        <v>10</v>
      </c>
      <c r="D56" s="3">
        <v>4.09</v>
      </c>
      <c r="E56" s="3">
        <v>4.09</v>
      </c>
    </row>
    <row r="57" spans="2:5" s="3" customFormat="1" x14ac:dyDescent="0.25">
      <c r="B57" s="4" t="s">
        <v>57</v>
      </c>
      <c r="C57" s="3">
        <v>50</v>
      </c>
      <c r="D57" s="3">
        <v>0.5</v>
      </c>
      <c r="E57" s="3">
        <v>0.1474</v>
      </c>
    </row>
    <row r="58" spans="2:5" s="3" customFormat="1" x14ac:dyDescent="0.25">
      <c r="B58" s="4" t="s">
        <v>58</v>
      </c>
      <c r="C58" s="3">
        <v>1</v>
      </c>
      <c r="D58" s="3">
        <v>1</v>
      </c>
      <c r="E58" s="3">
        <v>2.6</v>
      </c>
    </row>
    <row r="59" spans="2:5" s="3" customFormat="1" x14ac:dyDescent="0.25">
      <c r="B59" s="4" t="s">
        <v>59</v>
      </c>
      <c r="C59" s="3">
        <v>1</v>
      </c>
      <c r="D59" s="3">
        <v>1</v>
      </c>
      <c r="E59" s="3">
        <v>2.6</v>
      </c>
    </row>
    <row r="60" spans="2:5" s="3" customFormat="1" x14ac:dyDescent="0.25">
      <c r="B60" s="4" t="s">
        <v>60</v>
      </c>
      <c r="C60" s="3">
        <v>1</v>
      </c>
      <c r="D60" s="3">
        <v>1</v>
      </c>
      <c r="E60" s="3">
        <v>2.6</v>
      </c>
    </row>
    <row r="61" spans="2:5" s="3" customFormat="1" x14ac:dyDescent="0.25">
      <c r="B61" s="4" t="s">
        <v>61</v>
      </c>
      <c r="C61" s="3">
        <v>1</v>
      </c>
      <c r="D61" s="3">
        <v>1</v>
      </c>
      <c r="E61" s="3">
        <v>2.6</v>
      </c>
    </row>
    <row r="62" spans="2:5" s="3" customFormat="1" x14ac:dyDescent="0.25">
      <c r="B62" s="4" t="s">
        <v>62</v>
      </c>
      <c r="C62" s="3">
        <v>1</v>
      </c>
      <c r="D62" s="3">
        <v>1</v>
      </c>
      <c r="E62" s="3">
        <v>2.6</v>
      </c>
    </row>
    <row r="63" spans="2:5" s="3" customFormat="1" x14ac:dyDescent="0.25">
      <c r="B63" s="4" t="s">
        <v>63</v>
      </c>
      <c r="C63" s="3">
        <v>1</v>
      </c>
      <c r="D63" s="3">
        <v>1</v>
      </c>
      <c r="E63" s="3">
        <v>2.6</v>
      </c>
    </row>
    <row r="64" spans="2:5" s="3" customFormat="1" x14ac:dyDescent="0.25">
      <c r="B64" s="4" t="s">
        <v>64</v>
      </c>
      <c r="C64" s="3">
        <v>1</v>
      </c>
      <c r="D64" s="3">
        <v>1</v>
      </c>
      <c r="E64" s="3">
        <v>2.6</v>
      </c>
    </row>
    <row r="65" spans="2:5" s="3" customFormat="1" x14ac:dyDescent="0.25">
      <c r="B65" s="4" t="s">
        <v>65</v>
      </c>
      <c r="C65" s="3">
        <v>1</v>
      </c>
      <c r="D65" s="3">
        <v>1</v>
      </c>
      <c r="E65" s="3">
        <v>2.6</v>
      </c>
    </row>
    <row r="66" spans="2:5" s="3" customFormat="1" x14ac:dyDescent="0.25">
      <c r="B66" s="4" t="s">
        <v>66</v>
      </c>
      <c r="C66" s="3">
        <v>1</v>
      </c>
      <c r="D66" s="3">
        <v>1</v>
      </c>
      <c r="E66" s="3">
        <v>2.6</v>
      </c>
    </row>
    <row r="67" spans="2:5" s="3" customFormat="1" x14ac:dyDescent="0.25">
      <c r="B67" s="4" t="s">
        <v>67</v>
      </c>
      <c r="C67" s="3">
        <v>1</v>
      </c>
      <c r="D67" s="3">
        <v>1</v>
      </c>
      <c r="E67" s="3">
        <v>2.6</v>
      </c>
    </row>
    <row r="68" spans="2:5" s="3" customFormat="1" x14ac:dyDescent="0.25">
      <c r="B68" s="4" t="s">
        <v>68</v>
      </c>
      <c r="C68" s="3">
        <v>1</v>
      </c>
      <c r="D68" s="3">
        <v>1</v>
      </c>
      <c r="E68" s="3">
        <v>2.6</v>
      </c>
    </row>
    <row r="69" spans="2:5" s="3" customFormat="1" x14ac:dyDescent="0.25">
      <c r="B69" s="4" t="s">
        <v>69</v>
      </c>
      <c r="C69" s="3">
        <v>1</v>
      </c>
      <c r="D69" s="3">
        <v>1</v>
      </c>
      <c r="E69" s="3">
        <v>2.6</v>
      </c>
    </row>
    <row r="70" spans="2:5" s="3" customFormat="1" x14ac:dyDescent="0.25">
      <c r="B70" s="4" t="s">
        <v>70</v>
      </c>
      <c r="C70" s="3">
        <v>1</v>
      </c>
      <c r="D70" s="3">
        <v>1</v>
      </c>
      <c r="E70" s="3">
        <v>2.6</v>
      </c>
    </row>
    <row r="71" spans="2:5" s="3" customFormat="1" x14ac:dyDescent="0.25">
      <c r="B71" s="4" t="s">
        <v>71</v>
      </c>
      <c r="C71" s="3">
        <v>1</v>
      </c>
      <c r="D71" s="3">
        <v>1</v>
      </c>
      <c r="E71" s="3">
        <v>2.6</v>
      </c>
    </row>
    <row r="72" spans="2:5" s="3" customFormat="1" x14ac:dyDescent="0.25">
      <c r="B72" s="4" t="s">
        <v>72</v>
      </c>
      <c r="C72" s="3">
        <v>1</v>
      </c>
      <c r="D72" s="3">
        <v>1</v>
      </c>
      <c r="E72" s="3">
        <v>2.6</v>
      </c>
    </row>
    <row r="73" spans="2:5" s="3" customFormat="1" x14ac:dyDescent="0.25">
      <c r="B73" s="4" t="s">
        <v>73</v>
      </c>
      <c r="C73" s="3">
        <v>10</v>
      </c>
      <c r="D73" s="3">
        <v>10.199999999999999</v>
      </c>
      <c r="E73" s="3">
        <v>10.199999999999999</v>
      </c>
    </row>
    <row r="74" spans="2:5" s="3" customFormat="1" x14ac:dyDescent="0.25">
      <c r="B74" s="4" t="s">
        <v>74</v>
      </c>
      <c r="C74" s="3">
        <v>500</v>
      </c>
      <c r="D74" s="3">
        <v>0.7</v>
      </c>
      <c r="E74" s="3">
        <v>0.19</v>
      </c>
    </row>
    <row r="75" spans="2:5" s="3" customFormat="1" x14ac:dyDescent="0.25">
      <c r="B75" s="4" t="s">
        <v>75</v>
      </c>
      <c r="C75" s="3">
        <v>100</v>
      </c>
      <c r="D75" s="3">
        <v>0.5</v>
      </c>
      <c r="E75" s="3">
        <v>0.18</v>
      </c>
    </row>
    <row r="76" spans="2:5" s="3" customFormat="1" x14ac:dyDescent="0.25">
      <c r="B76" s="4" t="s">
        <v>76</v>
      </c>
      <c r="C76" s="3">
        <v>50</v>
      </c>
      <c r="D76" s="3">
        <v>0.19</v>
      </c>
      <c r="E76" s="3">
        <v>0.18920000000000001</v>
      </c>
    </row>
    <row r="77" spans="2:5" s="3" customFormat="1" x14ac:dyDescent="0.25">
      <c r="B77" s="4" t="s">
        <v>77</v>
      </c>
      <c r="C77" s="3">
        <v>2</v>
      </c>
      <c r="D77" s="3">
        <v>9.5</v>
      </c>
      <c r="E77" s="3">
        <v>5.65</v>
      </c>
    </row>
    <row r="78" spans="2:5" s="3" customFormat="1" x14ac:dyDescent="0.25">
      <c r="B78" s="4" t="s">
        <v>78</v>
      </c>
      <c r="C78" s="3">
        <v>2</v>
      </c>
      <c r="D78" s="3">
        <v>14</v>
      </c>
      <c r="E78" s="3">
        <v>8.1</v>
      </c>
    </row>
    <row r="79" spans="2:5" s="3" customFormat="1" x14ac:dyDescent="0.25">
      <c r="B79" s="4" t="s">
        <v>79</v>
      </c>
      <c r="C79" s="3">
        <v>3</v>
      </c>
      <c r="D79" s="3">
        <v>9</v>
      </c>
      <c r="E79" s="3">
        <v>5.31</v>
      </c>
    </row>
    <row r="80" spans="2:5" s="3" customFormat="1" x14ac:dyDescent="0.25">
      <c r="B80" s="4" t="s">
        <v>80</v>
      </c>
      <c r="C80" s="3">
        <v>6</v>
      </c>
      <c r="D80" s="3">
        <v>5.5</v>
      </c>
      <c r="E80" s="3">
        <v>3.01</v>
      </c>
    </row>
    <row r="81" spans="2:5" s="3" customFormat="1" x14ac:dyDescent="0.25">
      <c r="B81" s="4" t="s">
        <v>81</v>
      </c>
      <c r="C81" s="3">
        <v>6</v>
      </c>
      <c r="D81" s="3">
        <v>11</v>
      </c>
      <c r="E81" s="3">
        <v>6.93</v>
      </c>
    </row>
    <row r="82" spans="2:5" s="3" customFormat="1" x14ac:dyDescent="0.25">
      <c r="B82" s="4" t="s">
        <v>82</v>
      </c>
      <c r="C82" s="3">
        <v>4</v>
      </c>
      <c r="D82" s="3">
        <v>12</v>
      </c>
      <c r="E82" s="3">
        <v>7.88</v>
      </c>
    </row>
    <row r="83" spans="2:5" s="3" customFormat="1" x14ac:dyDescent="0.25">
      <c r="B83" s="4" t="s">
        <v>83</v>
      </c>
      <c r="C83" s="3">
        <v>6</v>
      </c>
      <c r="D83" s="3">
        <v>14</v>
      </c>
      <c r="E83" s="3">
        <v>8.19</v>
      </c>
    </row>
    <row r="84" spans="2:5" s="3" customFormat="1" x14ac:dyDescent="0.25">
      <c r="B84" s="4" t="s">
        <v>84</v>
      </c>
      <c r="C84" s="3">
        <v>12</v>
      </c>
      <c r="D84" s="3">
        <v>6.5</v>
      </c>
      <c r="E84" s="3">
        <v>4.3099999999999996</v>
      </c>
    </row>
    <row r="85" spans="2:5" s="3" customFormat="1" x14ac:dyDescent="0.25">
      <c r="B85" s="4" t="s">
        <v>85</v>
      </c>
      <c r="C85" s="3">
        <v>4</v>
      </c>
      <c r="D85" s="3">
        <v>13</v>
      </c>
      <c r="E85" s="3">
        <v>8.25</v>
      </c>
    </row>
    <row r="86" spans="2:5" s="3" customFormat="1" x14ac:dyDescent="0.25">
      <c r="B86" s="4" t="s">
        <v>86</v>
      </c>
      <c r="C86" s="3">
        <v>12</v>
      </c>
      <c r="D86" s="3">
        <v>2</v>
      </c>
      <c r="E86" s="3">
        <v>1.07</v>
      </c>
    </row>
    <row r="87" spans="2:5" s="3" customFormat="1" x14ac:dyDescent="0.25">
      <c r="B87" s="4" t="s">
        <v>87</v>
      </c>
      <c r="C87" s="3">
        <v>12</v>
      </c>
      <c r="D87" s="3">
        <v>2</v>
      </c>
      <c r="E87" s="3">
        <v>1.07</v>
      </c>
    </row>
    <row r="88" spans="2:5" s="3" customFormat="1" x14ac:dyDescent="0.25">
      <c r="B88" s="4" t="s">
        <v>88</v>
      </c>
      <c r="C88" s="3">
        <v>12</v>
      </c>
      <c r="D88" s="3">
        <v>2</v>
      </c>
      <c r="E88" s="3">
        <v>1.07</v>
      </c>
    </row>
    <row r="89" spans="2:5" s="3" customFormat="1" x14ac:dyDescent="0.25">
      <c r="B89" s="4" t="s">
        <v>89</v>
      </c>
      <c r="C89" s="3">
        <v>12</v>
      </c>
      <c r="D89" s="3">
        <v>2</v>
      </c>
      <c r="E89" s="3">
        <v>0.66</v>
      </c>
    </row>
    <row r="90" spans="2:5" s="3" customFormat="1" x14ac:dyDescent="0.25">
      <c r="B90" s="4" t="s">
        <v>90</v>
      </c>
      <c r="C90" s="3">
        <v>12</v>
      </c>
      <c r="D90" s="3">
        <v>2</v>
      </c>
      <c r="E90" s="3">
        <v>0.66</v>
      </c>
    </row>
    <row r="91" spans="2:5" s="3" customFormat="1" x14ac:dyDescent="0.25">
      <c r="B91" s="4" t="s">
        <v>91</v>
      </c>
      <c r="C91" s="3">
        <v>12</v>
      </c>
      <c r="D91" s="3">
        <v>2</v>
      </c>
      <c r="E91" s="3">
        <v>0.66</v>
      </c>
    </row>
    <row r="92" spans="2:5" s="3" customFormat="1" x14ac:dyDescent="0.25">
      <c r="B92" s="4" t="s">
        <v>92</v>
      </c>
      <c r="C92" s="3">
        <v>12</v>
      </c>
      <c r="D92" s="3">
        <v>2</v>
      </c>
      <c r="E92" s="3">
        <v>0.87</v>
      </c>
    </row>
    <row r="93" spans="2:5" s="3" customFormat="1" x14ac:dyDescent="0.25">
      <c r="B93" s="4" t="s">
        <v>93</v>
      </c>
      <c r="C93" s="3">
        <v>12</v>
      </c>
      <c r="D93" s="3">
        <v>2</v>
      </c>
      <c r="E93" s="3">
        <v>0.87</v>
      </c>
    </row>
    <row r="94" spans="2:5" s="3" customFormat="1" x14ac:dyDescent="0.25">
      <c r="B94" s="4" t="s">
        <v>94</v>
      </c>
      <c r="C94" s="3">
        <v>12</v>
      </c>
      <c r="D94" s="3">
        <v>2</v>
      </c>
      <c r="E94" s="3">
        <v>0.87</v>
      </c>
    </row>
    <row r="95" spans="2:5" s="3" customFormat="1" x14ac:dyDescent="0.25">
      <c r="B95" s="4" t="s">
        <v>95</v>
      </c>
      <c r="C95" s="3">
        <v>12</v>
      </c>
      <c r="D95" s="3">
        <v>2</v>
      </c>
      <c r="E95" s="3">
        <v>0.87</v>
      </c>
    </row>
    <row r="96" spans="2:5" s="3" customFormat="1" x14ac:dyDescent="0.25">
      <c r="B96" s="4" t="s">
        <v>96</v>
      </c>
      <c r="C96" s="3">
        <v>4</v>
      </c>
      <c r="D96" s="3">
        <v>8.3000000000000007</v>
      </c>
      <c r="E96" s="3">
        <v>8.3000000000000007</v>
      </c>
    </row>
    <row r="97" spans="2:8" s="3" customFormat="1" x14ac:dyDescent="0.25">
      <c r="B97" s="4" t="s">
        <v>97</v>
      </c>
      <c r="C97" s="3">
        <v>6</v>
      </c>
      <c r="D97" s="3">
        <v>7</v>
      </c>
      <c r="E97" s="3">
        <v>4.2</v>
      </c>
    </row>
    <row r="98" spans="2:8" s="3" customFormat="1" x14ac:dyDescent="0.25">
      <c r="B98" s="4" t="s">
        <v>98</v>
      </c>
      <c r="C98" s="3">
        <v>12</v>
      </c>
      <c r="D98" s="3">
        <v>2.5</v>
      </c>
      <c r="E98" s="3">
        <v>1.23</v>
      </c>
    </row>
    <row r="99" spans="2:8" s="3" customFormat="1" x14ac:dyDescent="0.25">
      <c r="B99" s="4" t="s">
        <v>99</v>
      </c>
      <c r="C99" s="3">
        <v>12</v>
      </c>
      <c r="D99" s="3">
        <v>2.5</v>
      </c>
      <c r="E99" s="3">
        <v>1.23</v>
      </c>
    </row>
    <row r="100" spans="2:8" s="3" customFormat="1" x14ac:dyDescent="0.25">
      <c r="B100" s="4" t="s">
        <v>100</v>
      </c>
      <c r="C100" s="3">
        <v>12</v>
      </c>
      <c r="D100" s="3">
        <v>2.5</v>
      </c>
      <c r="E100" s="3">
        <v>1.23</v>
      </c>
    </row>
    <row r="101" spans="2:8" s="3" customFormat="1" x14ac:dyDescent="0.25">
      <c r="B101" s="4" t="s">
        <v>101</v>
      </c>
      <c r="C101" s="3">
        <v>12</v>
      </c>
      <c r="D101" s="3">
        <v>2.5</v>
      </c>
      <c r="E101" s="3">
        <v>1.23</v>
      </c>
    </row>
    <row r="102" spans="2:8" s="3" customFormat="1" x14ac:dyDescent="0.25">
      <c r="B102" s="4" t="s">
        <v>102</v>
      </c>
      <c r="C102" s="3">
        <v>6</v>
      </c>
      <c r="D102" s="3">
        <v>14</v>
      </c>
      <c r="E102" s="3">
        <v>9.2100000000000009</v>
      </c>
    </row>
    <row r="103" spans="2:8" s="3" customFormat="1" x14ac:dyDescent="0.25">
      <c r="B103" s="4" t="s">
        <v>103</v>
      </c>
      <c r="C103" s="3">
        <v>10</v>
      </c>
      <c r="D103" s="3">
        <v>2</v>
      </c>
      <c r="E103" s="3">
        <v>1.08</v>
      </c>
    </row>
    <row r="104" spans="2:8" s="3" customFormat="1" x14ac:dyDescent="0.25">
      <c r="B104" s="4" t="s">
        <v>104</v>
      </c>
      <c r="C104" s="3">
        <v>10</v>
      </c>
      <c r="D104" s="3">
        <v>2</v>
      </c>
      <c r="E104" s="3">
        <v>1.08</v>
      </c>
    </row>
    <row r="105" spans="2:8" s="3" customFormat="1" x14ac:dyDescent="0.25">
      <c r="B105" s="4" t="s">
        <v>105</v>
      </c>
      <c r="C105" s="3">
        <v>10</v>
      </c>
      <c r="D105" s="3">
        <v>2</v>
      </c>
      <c r="E105" s="3">
        <v>1.08</v>
      </c>
    </row>
    <row r="106" spans="2:8" s="3" customFormat="1" x14ac:dyDescent="0.25">
      <c r="B106" s="4" t="s">
        <v>106</v>
      </c>
      <c r="C106" s="3">
        <v>3</v>
      </c>
      <c r="D106" s="3">
        <v>1.5</v>
      </c>
      <c r="E106" s="3">
        <v>4.7</v>
      </c>
    </row>
    <row r="107" spans="2:8" s="3" customFormat="1" x14ac:dyDescent="0.25">
      <c r="B107" s="4" t="s">
        <v>107</v>
      </c>
      <c r="C107" s="3">
        <v>12</v>
      </c>
      <c r="D107" s="3">
        <v>3.5</v>
      </c>
      <c r="E107" s="3">
        <v>2.16</v>
      </c>
      <c r="F107" s="3">
        <f>C107*D107</f>
        <v>42</v>
      </c>
    </row>
    <row r="108" spans="2:8" s="3" customFormat="1" x14ac:dyDescent="0.25">
      <c r="B108" s="4" t="s">
        <v>108</v>
      </c>
      <c r="C108" s="3">
        <v>12</v>
      </c>
      <c r="D108" s="3">
        <v>2</v>
      </c>
      <c r="E108" s="3">
        <v>1.0900000000000001</v>
      </c>
    </row>
    <row r="109" spans="2:8" s="3" customFormat="1" x14ac:dyDescent="0.25">
      <c r="B109" s="4" t="s">
        <v>123</v>
      </c>
      <c r="C109" s="3">
        <v>100</v>
      </c>
      <c r="D109" s="3">
        <v>1</v>
      </c>
      <c r="E109" s="3">
        <v>7.51</v>
      </c>
    </row>
    <row r="110" spans="2:8" s="3" customFormat="1" x14ac:dyDescent="0.25">
      <c r="B110" s="4" t="s">
        <v>109</v>
      </c>
      <c r="C110" s="3">
        <v>12</v>
      </c>
      <c r="D110" s="3">
        <v>1.5</v>
      </c>
      <c r="E110" s="3">
        <v>3.21</v>
      </c>
      <c r="F110" s="3">
        <f>C110*D110</f>
        <v>18</v>
      </c>
      <c r="G110" s="3">
        <f>C110*12</f>
        <v>144</v>
      </c>
      <c r="H110" s="3">
        <f>F110/G110</f>
        <v>0.125</v>
      </c>
    </row>
    <row r="111" spans="2:8" s="3" customFormat="1" x14ac:dyDescent="0.25">
      <c r="B111" s="4" t="s">
        <v>110</v>
      </c>
      <c r="C111" s="3">
        <v>12</v>
      </c>
      <c r="D111" s="3">
        <v>0.6</v>
      </c>
      <c r="E111" s="3">
        <v>0.25</v>
      </c>
    </row>
    <row r="112" spans="2:8" s="3" customFormat="1" x14ac:dyDescent="0.25">
      <c r="B112" s="4" t="s">
        <v>111</v>
      </c>
      <c r="C112" s="3">
        <v>12</v>
      </c>
      <c r="D112" s="3">
        <v>5</v>
      </c>
      <c r="E112" s="3">
        <v>3.12</v>
      </c>
    </row>
    <row r="113" spans="2:5" s="3" customFormat="1" x14ac:dyDescent="0.25">
      <c r="B113" s="4" t="s">
        <v>112</v>
      </c>
      <c r="C113" s="3">
        <v>12</v>
      </c>
      <c r="D113" s="3">
        <v>3.5</v>
      </c>
      <c r="E113" s="3">
        <v>18</v>
      </c>
    </row>
    <row r="114" spans="2:5" s="3" customFormat="1" x14ac:dyDescent="0.25">
      <c r="B114" s="4" t="s">
        <v>113</v>
      </c>
      <c r="C114" s="3">
        <v>25</v>
      </c>
      <c r="D114" s="3">
        <v>1</v>
      </c>
      <c r="E114" s="3">
        <v>0.61</v>
      </c>
    </row>
    <row r="115" spans="2:5" s="3" customFormat="1" x14ac:dyDescent="0.25">
      <c r="B115" s="4" t="s">
        <v>114</v>
      </c>
      <c r="C115" s="3">
        <v>12</v>
      </c>
      <c r="D115" s="3">
        <v>0.9</v>
      </c>
      <c r="E115" s="3">
        <v>0.9</v>
      </c>
    </row>
    <row r="116" spans="2:5" s="3" customFormat="1" x14ac:dyDescent="0.25">
      <c r="B116" s="4" t="s">
        <v>124</v>
      </c>
      <c r="C116" s="3">
        <v>6</v>
      </c>
      <c r="D116" s="3">
        <v>2</v>
      </c>
      <c r="E116" s="3">
        <v>1.31</v>
      </c>
    </row>
    <row r="117" spans="2:5" s="3" customFormat="1" x14ac:dyDescent="0.25">
      <c r="B117" s="4" t="s">
        <v>115</v>
      </c>
      <c r="C117" s="3">
        <v>12</v>
      </c>
      <c r="D117" s="3">
        <v>3.5</v>
      </c>
      <c r="E117" s="3">
        <v>1.8</v>
      </c>
    </row>
    <row r="118" spans="2:5" s="3" customFormat="1" x14ac:dyDescent="0.25">
      <c r="B118" s="4" t="s">
        <v>125</v>
      </c>
      <c r="C118" s="3">
        <v>12</v>
      </c>
      <c r="D118" s="3">
        <v>2</v>
      </c>
      <c r="E118" s="3">
        <v>0.93</v>
      </c>
    </row>
    <row r="119" spans="2:5" s="3" customFormat="1" x14ac:dyDescent="0.25">
      <c r="B119" s="4" t="s">
        <v>116</v>
      </c>
      <c r="C119" s="3">
        <v>12</v>
      </c>
      <c r="D119" s="3">
        <v>2.0299999999999998</v>
      </c>
      <c r="E119" s="3">
        <v>2.0299999999999998</v>
      </c>
    </row>
    <row r="120" spans="2:5" s="3" customFormat="1" x14ac:dyDescent="0.25">
      <c r="B120" s="4" t="s">
        <v>117</v>
      </c>
      <c r="C120" s="3">
        <v>10</v>
      </c>
      <c r="D120" s="3">
        <v>3</v>
      </c>
      <c r="E120" s="3">
        <v>1.5</v>
      </c>
    </row>
    <row r="121" spans="2:5" s="3" customFormat="1" x14ac:dyDescent="0.25">
      <c r="B121" s="4" t="s">
        <v>118</v>
      </c>
      <c r="C121" s="3">
        <v>10</v>
      </c>
      <c r="D121" s="3">
        <v>2</v>
      </c>
      <c r="E121" s="3">
        <v>0.85</v>
      </c>
    </row>
    <row r="122" spans="2:5" s="3" customFormat="1" x14ac:dyDescent="0.25">
      <c r="B122" s="4" t="s">
        <v>126</v>
      </c>
      <c r="C122" s="3">
        <v>5</v>
      </c>
      <c r="D122" s="3">
        <v>1</v>
      </c>
      <c r="E122" s="3">
        <v>3.4</v>
      </c>
    </row>
    <row r="123" spans="2:5" s="3" customFormat="1" x14ac:dyDescent="0.25">
      <c r="B123" s="4" t="s">
        <v>119</v>
      </c>
      <c r="C123" s="3">
        <v>12</v>
      </c>
      <c r="D123" s="3">
        <v>4</v>
      </c>
      <c r="E123" s="3">
        <v>2.77</v>
      </c>
    </row>
  </sheetData>
  <autoFilter ref="A1: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libreriabele</cp:lastModifiedBy>
  <dcterms:created xsi:type="dcterms:W3CDTF">2026-03-24T22:11:06Z</dcterms:created>
  <dcterms:modified xsi:type="dcterms:W3CDTF">2026-03-26T19:13:15Z</dcterms:modified>
</cp:coreProperties>
</file>